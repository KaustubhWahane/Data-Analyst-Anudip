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Master" sheetId="1" r:id="rId4"/>
    <sheet state="visible" name="Performance_Review" sheetId="2" r:id="rId5"/>
  </sheets>
  <definedNames/>
  <calcPr/>
</workbook>
</file>

<file path=xl/sharedStrings.xml><?xml version="1.0" encoding="utf-8"?>
<sst xmlns="http://schemas.openxmlformats.org/spreadsheetml/2006/main" count="46" uniqueCount="39">
  <si>
    <t>EmpID</t>
  </si>
  <si>
    <t>First Name</t>
  </si>
  <si>
    <t>Last Name</t>
  </si>
  <si>
    <t>Department</t>
  </si>
  <si>
    <t>Annual Salary</t>
  </si>
  <si>
    <t>E001</t>
  </si>
  <si>
    <t>Sarah</t>
  </si>
  <si>
    <t>Connor</t>
  </si>
  <si>
    <t>IT</t>
  </si>
  <si>
    <t>E002</t>
  </si>
  <si>
    <t>John</t>
  </si>
  <si>
    <t>Smith</t>
  </si>
  <si>
    <t>Sales</t>
  </si>
  <si>
    <t>E003</t>
  </si>
  <si>
    <t>Emily</t>
  </si>
  <si>
    <t>Blunt</t>
  </si>
  <si>
    <t>HR</t>
  </si>
  <si>
    <t>E004</t>
  </si>
  <si>
    <t>Michael</t>
  </si>
  <si>
    <t>Scott</t>
  </si>
  <si>
    <t>Management</t>
  </si>
  <si>
    <t>E005</t>
  </si>
  <si>
    <t>Diana</t>
  </si>
  <si>
    <t>Prince</t>
  </si>
  <si>
    <t>E006</t>
  </si>
  <si>
    <t>Clark</t>
  </si>
  <si>
    <t>Kent</t>
  </si>
  <si>
    <t>Journalism</t>
  </si>
  <si>
    <t>ReviewID</t>
  </si>
  <si>
    <t>Rating (1-5)</t>
  </si>
  <si>
    <t>Department (Task 1)</t>
  </si>
  <si>
    <t>Annual Salary (Task 3)</t>
  </si>
  <si>
    <t>Bonus Multiplier</t>
  </si>
  <si>
    <t>Computed Bonus (Task 4)</t>
  </si>
  <si>
    <t>E999</t>
  </si>
  <si>
    <t>4- Calculation Answer</t>
  </si>
  <si>
    <t>I have did these all in Google Sheets because the XLOOKUP doesnt work in excel 2013</t>
  </si>
  <si>
    <t>5- Left Lookup</t>
  </si>
  <si>
    <t>6- Missing Data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</si>
</sst>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212529"/>
      <name val="Arial"/>
    </font>
    <font>
      <sz val="11.0"/>
      <color rgb="FF212529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medium">
        <color rgb="FFDEE2E6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3" xfId="0" applyAlignment="1" applyBorder="1" applyFont="1" applyNumberFormat="1">
      <alignment shrinkToFit="0" vertical="top" wrapText="1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>
        <v>85000.0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3">
        <v>62000.0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3">
        <v>58000.0</v>
      </c>
    </row>
    <row r="5">
      <c r="A5" s="2" t="s">
        <v>17</v>
      </c>
      <c r="B5" s="2" t="s">
        <v>18</v>
      </c>
      <c r="C5" s="2" t="s">
        <v>19</v>
      </c>
      <c r="D5" s="2" t="s">
        <v>20</v>
      </c>
      <c r="E5" s="3">
        <v>95000.0</v>
      </c>
    </row>
    <row r="6">
      <c r="A6" s="2" t="s">
        <v>21</v>
      </c>
      <c r="B6" s="2" t="s">
        <v>22</v>
      </c>
      <c r="C6" s="2" t="s">
        <v>23</v>
      </c>
      <c r="D6" s="2" t="s">
        <v>8</v>
      </c>
      <c r="E6" s="3">
        <v>88000.0</v>
      </c>
    </row>
    <row r="7">
      <c r="A7" s="2" t="s">
        <v>24</v>
      </c>
      <c r="B7" s="2" t="s">
        <v>25</v>
      </c>
      <c r="C7" s="2" t="s">
        <v>26</v>
      </c>
      <c r="D7" s="2" t="s">
        <v>27</v>
      </c>
      <c r="E7" s="3">
        <v>55000.0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2.43"/>
    <col customWidth="1" min="6" max="6" width="11.86"/>
    <col customWidth="1" min="7" max="7" width="13.43"/>
    <col customWidth="1" min="8" max="26" width="8.71"/>
  </cols>
  <sheetData>
    <row r="1">
      <c r="A1" s="1" t="s">
        <v>28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>
      <c r="A2" s="2">
        <v>101.0</v>
      </c>
      <c r="B2" s="2" t="s">
        <v>9</v>
      </c>
      <c r="C2" s="2">
        <v>4.0</v>
      </c>
      <c r="D2" s="2" t="str">
        <f>VLOOKUP(B2, Employee_Master!$A$2:$D$7, 4, FALSE)
</f>
        <v>Sales</v>
      </c>
      <c r="E2" s="2">
        <f>IFERROR(VLOOKUP(B2, Employee_Master!$A$2:$E$7, 5, FALSE), "Contractor")
</f>
        <v>62000</v>
      </c>
      <c r="F2" s="2">
        <v>1.1</v>
      </c>
      <c r="G2" s="2">
        <f>IFERROR(VLOOKUP(B2, Employee_Master!$A$2:$E$7, 5, FALSE) * F2, "Contractor")
</f>
        <v>68200</v>
      </c>
    </row>
    <row r="3">
      <c r="A3" s="2">
        <v>102.0</v>
      </c>
      <c r="B3" s="2" t="s">
        <v>21</v>
      </c>
      <c r="C3" s="2">
        <v>5.0</v>
      </c>
      <c r="D3" s="2" t="str">
        <f>VLOOKUP(B3, Employee_Master!$A$2:$D$7, 4, FALSE)
</f>
        <v>IT</v>
      </c>
      <c r="E3" s="2">
        <f>IFERROR(VLOOKUP(B3, Employee_Master!$A$2:$E$7, 5, FALSE), "Contractor")
</f>
        <v>88000</v>
      </c>
      <c r="F3" s="2">
        <v>1.15</v>
      </c>
      <c r="G3" s="2">
        <f>IFERROR(VLOOKUP(B3, Employee_Master!$A$2:$E$7, 5, FALSE) * F3, "Contractor")
</f>
        <v>101200</v>
      </c>
    </row>
    <row r="4">
      <c r="A4" s="2">
        <v>103.0</v>
      </c>
      <c r="B4" s="2" t="s">
        <v>5</v>
      </c>
      <c r="C4" s="2">
        <v>3.0</v>
      </c>
      <c r="D4" s="2" t="str">
        <f>VLOOKUP(B4, Employee_Master!$A$2:$D$7, 4, FALSE)
</f>
        <v>IT</v>
      </c>
      <c r="E4" s="2">
        <f>IFERROR(VLOOKUP(B4, Employee_Master!$A$2:$E$7, 5, FALSE), "Contractor")
</f>
        <v>85000</v>
      </c>
      <c r="F4" s="2">
        <v>1.05</v>
      </c>
      <c r="G4" s="2">
        <f>IFERROR(VLOOKUP(B4, Employee_Master!$A$2:$E$7, 5, FALSE) * F4, "Contractor")
</f>
        <v>89250</v>
      </c>
    </row>
    <row r="5">
      <c r="A5" s="2">
        <v>104.0</v>
      </c>
      <c r="B5" s="2" t="s">
        <v>17</v>
      </c>
      <c r="C5" s="2">
        <v>4.0</v>
      </c>
      <c r="D5" s="2" t="str">
        <f>VLOOKUP(B5, Employee_Master!$A$2:$D$7, 4, FALSE)
</f>
        <v>Management</v>
      </c>
      <c r="E5" s="2">
        <f>IFERROR(VLOOKUP(B5, Employee_Master!$A$2:$E$7, 5, FALSE), "Contractor")
</f>
        <v>95000</v>
      </c>
      <c r="F5" s="2">
        <v>1.1</v>
      </c>
      <c r="G5" s="2">
        <f>IFERROR(VLOOKUP(B5, Employee_Master!$A$2:$E$7, 5, FALSE) * F5, "Contractor")
</f>
        <v>104500</v>
      </c>
    </row>
    <row r="6">
      <c r="A6" s="2">
        <v>105.0</v>
      </c>
      <c r="B6" s="1" t="s">
        <v>34</v>
      </c>
      <c r="C6" s="2">
        <v>2.0</v>
      </c>
      <c r="D6" s="2" t="str">
        <f>VLOOKUP(B6, Employee_Master!$A$2:$D$7, 4, FALSE)
</f>
        <v>#N/A</v>
      </c>
      <c r="E6" s="2" t="str">
        <f>IFERROR(VLOOKUP(B6, Employee_Master!$A$2:$E$7, 5, FALSE), "Contractor")
</f>
        <v>Contractor</v>
      </c>
      <c r="F6" s="2">
        <v>1.0</v>
      </c>
      <c r="G6" s="2" t="str">
        <f>IFERROR(VLOOKUP(B6, Employee_Master!$A$2:$E$7, 5, FALSE) * F6, "Contractor")
</f>
        <v>Contractor</v>
      </c>
    </row>
    <row r="7">
      <c r="A7" s="2">
        <v>106.0</v>
      </c>
      <c r="B7" s="2" t="s">
        <v>13</v>
      </c>
      <c r="C7" s="2">
        <v>3.0</v>
      </c>
      <c r="D7" s="2" t="str">
        <f>VLOOKUP(B7, Employee_Master!$A$2:$D$7, 4, FALSE)
</f>
        <v>HR</v>
      </c>
      <c r="E7" s="2">
        <f>IFERROR(VLOOKUP(B7, Employee_Master!$A$2:$E$7, 5, FALSE), "Contractor")
</f>
        <v>58000</v>
      </c>
      <c r="F7" s="2">
        <v>1.05</v>
      </c>
      <c r="G7" s="2">
        <f>IFERROR(VLOOKUP(B7, Employee_Master!$A$2:$E$7, 5, FALSE) * F7, "Contractor")
</f>
        <v>60900</v>
      </c>
    </row>
    <row r="10">
      <c r="A10" s="4" t="str">
        <f>VLOOKUP("E004", Employee_Master!$A$2:$E$7, 2, FALSE)</f>
        <v>Michael</v>
      </c>
      <c r="B10" s="4" t="str">
        <f>VLOOKUP("E004", Employee_Master!$A$2:$E$7, 3, FALSE)
</f>
        <v>Scott</v>
      </c>
      <c r="C10" s="5" t="s">
        <v>35</v>
      </c>
    </row>
    <row r="11">
      <c r="J11" s="5" t="s">
        <v>36</v>
      </c>
    </row>
    <row r="12">
      <c r="A12" s="4" t="str">
        <f t="array" ref="A12">INDEX(Employee_Master!$A$2:$A$7, MATCH("Kent", Employee_Master!$C$2:$C$7, 0))
</f>
        <v>E006</v>
      </c>
      <c r="C12" s="5" t="s">
        <v>37</v>
      </c>
    </row>
    <row r="14">
      <c r="A14" s="4" t="str">
        <f>IFERROR(MATCH(A2, Performance_Review!$B$2:$B$7, 0), "Missing")
</f>
        <v>Missing</v>
      </c>
      <c r="C14" s="5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