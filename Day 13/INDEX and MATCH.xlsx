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<sst xmlns="http://schemas.openxmlformats.org/spreadsheetml/2006/main" count="30" uniqueCount="27">
  <si>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</si>
  <si>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</si>
  <si>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</si>
  <si>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</si>
  <si>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</si>
  <si>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</si>
  <si>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</si>
  <si>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</si>
  <si>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1st Task</t>
  </si>
  <si>
    <t>2nd Task</t>
  </si>
  <si>
    <t>3rd Task</t>
  </si>
  <si>
    <t>4th Task</t>
  </si>
  <si>
    <t>5th Task</t>
  </si>
  <si>
    <t>6th Task</t>
  </si>
  <si>
    <t>7th Task</t>
  </si>
  <si>
    <t>8th Task</t>
  </si>
  <si>
    <t>PRODA</t>
  </si>
  <si>
    <t>Electronics</t>
  </si>
  <si>
    <t>PRODB</t>
  </si>
  <si>
    <t>Furniture</t>
  </si>
  <si>
    <t xml:space="preserve"> </t>
  </si>
  <si>
    <t>PRODC</t>
  </si>
  <si>
    <t>PRODD</t>
  </si>
  <si>
    <t>Clothing</t>
  </si>
  <si>
    <t>PRODE</t>
  </si>
  <si>
    <t>PRODF</t>
  </si>
  <si>
    <t>Need help with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</si>
</sst>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14</xdr:row>
      <xdr:rowOff>38100</xdr:rowOff>
    </xdr:from>
    <xdr:ext cx="9429750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101.0</v>
      </c>
      <c r="B2" s="1" t="s">
        <v>16</v>
      </c>
      <c r="C2" s="1" t="s">
        <v>17</v>
      </c>
      <c r="D2" s="1">
        <v>120.0</v>
      </c>
      <c r="E2" s="1">
        <v>130.0</v>
      </c>
      <c r="F2" s="1">
        <v>140.0</v>
      </c>
      <c r="G2" s="1">
        <v>150.0</v>
      </c>
      <c r="H2" s="1">
        <v>160.0</v>
      </c>
      <c r="J2" s="2">
        <f t="array" ref="J2">INDEX($D$2:$H$7, MATCH("PRODC", $B$2:$B$7, 0), MATCH("Mar Sales", $D$1:$H$1, 0))
</f>
        <v>220</v>
      </c>
      <c r="K2" s="2" t="str">
        <f t="array" ref="K2">INDEX($C$2:$C$7, MATCH("PRODE", $B$2:$B$7, 0))
</f>
        <v>Furniture</v>
      </c>
      <c r="L2" s="2">
        <f t="array" ref="L2">MAX(INDEX($D$2:$H$7, MATCH("PRODB", $B$2:$B$7, 0), 0))
</f>
        <v>190</v>
      </c>
      <c r="M2" s="2" t="str">
        <f t="array" ref="M2">INDEX($D$1:$H$1,
       MATCH(
         MAX(INDEX($D$2:$H$7, MATCH("PRODA", $B$2:$B$7, 0), 0)),
         INDEX($D$2:$H$7, MATCH("PRODA", $B$2:$B$7, 0), 0),
         0
       ))
</f>
        <v>May Sales</v>
      </c>
      <c r="N2" s="2">
        <f t="array" ref="N2">SUMIF($C$2:$C$7,
       "Electronics",
       INDEX($D$2:$H$7, 0, MATCH("Apr Sales", $D$1:$H$1, 0))
)
</f>
        <v>540</v>
      </c>
      <c r="O2" s="2">
        <f t="array" ref="O2">AVERAGE(
  INDEX($D$2:$H$7, MATCH("PRODD", $B$2:$B$7, 0), 0)
)
</f>
        <v>110</v>
      </c>
      <c r="P2" s="2">
        <f t="array" ref="P2">INDEX($D$2:$H$7,
       MATCH(105, $A$2:$A$7, 0),
       MATCH("May Sales", $D$1:$H$1, 0)
)
</f>
        <v>260</v>
      </c>
    </row>
    <row r="3">
      <c r="A3" s="1">
        <v>102.0</v>
      </c>
      <c r="B3" s="1" t="s">
        <v>18</v>
      </c>
      <c r="C3" s="1" t="s">
        <v>19</v>
      </c>
      <c r="D3" s="1">
        <v>150.0</v>
      </c>
      <c r="E3" s="1">
        <v>160.0</v>
      </c>
      <c r="F3" s="1">
        <v>170.0</v>
      </c>
      <c r="G3" s="1">
        <v>180.0</v>
      </c>
      <c r="H3" s="1">
        <v>190.0</v>
      </c>
      <c r="I3" s="1" t="s">
        <v>20</v>
      </c>
    </row>
    <row r="4">
      <c r="A4" s="1">
        <v>103.0</v>
      </c>
      <c r="B4" s="1" t="s">
        <v>21</v>
      </c>
      <c r="C4" s="1" t="s">
        <v>17</v>
      </c>
      <c r="D4" s="1">
        <v>200.0</v>
      </c>
      <c r="E4" s="1">
        <v>210.0</v>
      </c>
      <c r="F4" s="1">
        <v>220.0</v>
      </c>
      <c r="G4" s="1">
        <v>230.0</v>
      </c>
      <c r="H4" s="1">
        <v>240.0</v>
      </c>
    </row>
    <row r="5">
      <c r="A5" s="1">
        <v>104.0</v>
      </c>
      <c r="B5" s="1" t="s">
        <v>22</v>
      </c>
      <c r="C5" s="1" t="s">
        <v>23</v>
      </c>
      <c r="D5" s="1">
        <v>90.0</v>
      </c>
      <c r="E5" s="1">
        <v>100.0</v>
      </c>
      <c r="F5" s="1">
        <v>110.0</v>
      </c>
      <c r="G5" s="1">
        <v>120.0</v>
      </c>
      <c r="H5" s="1">
        <v>130.0</v>
      </c>
    </row>
    <row r="6">
      <c r="A6" s="1">
        <v>105.0</v>
      </c>
      <c r="B6" s="1" t="s">
        <v>24</v>
      </c>
      <c r="C6" s="1" t="s">
        <v>19</v>
      </c>
      <c r="D6" s="1">
        <v>220.0</v>
      </c>
      <c r="E6" s="1">
        <v>230.0</v>
      </c>
      <c r="F6" s="1">
        <v>240.0</v>
      </c>
      <c r="G6" s="1">
        <v>250.0</v>
      </c>
      <c r="H6" s="1">
        <v>260.0</v>
      </c>
    </row>
    <row r="7">
      <c r="A7" s="1">
        <v>106.0</v>
      </c>
      <c r="B7" s="1" t="s">
        <v>25</v>
      </c>
      <c r="C7" s="1" t="s">
        <v>17</v>
      </c>
      <c r="D7" s="1">
        <v>130.0</v>
      </c>
      <c r="E7" s="1">
        <v>140.0</v>
      </c>
      <c r="F7" s="1">
        <v>150.0</v>
      </c>
      <c r="G7" s="1">
        <v>160.0</v>
      </c>
      <c r="H7" s="1">
        <v>170.0</v>
      </c>
    </row>
    <row r="14">
      <c r="H14" s="1" t="s">
        <v>26</v>
      </c>
    </row>
  </sheetData>
  <drawing r:id="rId1"/>
</worksheet>
</file>