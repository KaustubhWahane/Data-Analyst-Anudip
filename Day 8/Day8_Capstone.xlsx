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Excel Anudip\Day 8\"/>
    </mc:Choice>
  </mc:AlternateContent>
  <bookViews>
    <workbookView xWindow="0" yWindow="0" windowWidth="21570" windowHeight="859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<sst xmlns="http://schemas.openxmlformats.org/spreadsheetml/2006/main" count="60" uniqueCount="36">
  <si>
    <t>HOLIDAY_TABLE,,,</t>
  </si>
  <si>
    <t>TicketID</t>
  </si>
  <si>
    <t>CreateDate</t>
  </si>
  <si>
    <t>ResolveDate</t>
  </si>
  <si>
    <t>Priority</t>
  </si>
  <si>
    <t>Technician</t>
  </si>
  <si>
    <t>TKT-9001</t>
  </si>
  <si>
    <t>High</t>
  </si>
  <si>
    <t>Dave</t>
  </si>
  <si>
    <t>TKT-9002</t>
  </si>
  <si>
    <t>Low</t>
  </si>
  <si>
    <t>Sarah</t>
  </si>
  <si>
    <t>TKT-9003</t>
  </si>
  <si>
    <t>TKT-9004</t>
  </si>
  <si>
    <t>Mike</t>
  </si>
  <si>
    <t>TKT-9005</t>
  </si>
  <si>
    <t>TKT-9006</t>
  </si>
  <si>
    <t>TKT-9007</t>
  </si>
  <si>
    <t>Medium</t>
  </si>
  <si>
    <t>TKT-9008</t>
  </si>
  <si>
    <t>TKT-9009</t>
  </si>
  <si>
    <t>TKT-9010</t>
  </si>
  <si>
    <t>TKT-9011</t>
  </si>
  <si>
    <t>TKT-9012</t>
  </si>
  <si>
    <t>TKT-9013</t>
  </si>
  <si>
    <t>TKT-9014</t>
  </si>
  <si>
    <t>TKT-9015</t>
  </si>
  <si>
    <t>Holiday_Name</t>
  </si>
  <si>
    <t>Date</t>
  </si>
  <si>
    <t>New Years Day</t>
  </si>
  <si>
    <t>MLK Day</t>
  </si>
  <si>
    <t>Presidents Day</t>
  </si>
  <si>
    <t>SLA Deadline</t>
  </si>
  <si>
    <t>Days Taken</t>
  </si>
  <si>
    <t>Status Flag</t>
  </si>
  <si>
    <t>Billing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</si>
</sst>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3" formatCode="[$-409]d\-mmm\-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17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1" formatCode="0"/>
    </dxf>
    <dxf>
      <numFmt numFmtId="173" formatCode="[$-409]d\-mmm\-yy;@"/>
    </dxf>
    <dxf>
      <numFmt numFmtId="173" formatCode="[$-409]d\-mmm\-yy;@"/>
    </dxf>
    <dxf>
      <numFmt numFmtId="173" formatCode="[$-409]d\-mmm\-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286728</xdr:colOff>
      <xdr:row>0</xdr:row>
      <xdr:rowOff>167054</xdr:rowOff>
    </xdr:from>
    <xdr:to>
      <xdr:col>23</xdr:col>
      <xdr:colOff>312128</xdr:colOff>
      <xdr:row>39</xdr:row>
      <xdr:rowOff>141654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D57611C4-39AD-4FD3-98DD-31890C810CD2}"/>
            </a:ext>
          </a:extLst>
        </xdr:cNvPr>
        <xdr:cNvSpPr txBox="1"/>
      </xdr:nvSpPr>
      <xdr:spPr>
        <a:xfrm>
          <a:off x="7005516" y="167054"/>
          <a:ext cx="7931150" cy="7404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b="1" u="sng"/>
            <a:t>Capstone: "The SLA Breach Report"</a:t>
          </a:r>
        </a:p>
        <a:p>
          <a:r>
            <a:rPr lang="en-IN" b="1"/>
            <a:t>Role:</a:t>
          </a:r>
          <a:r>
            <a:rPr lang="en-IN"/>
            <a:t> Operations Lead for 'Swift Logistics'. </a:t>
          </a:r>
          <a:r>
            <a:rPr lang="en-IN" b="1"/>
            <a:t>Scenario:</a:t>
          </a:r>
          <a:r>
            <a:rPr lang="en-IN"/>
            <a:t> The Client is threatening to leave. They claim we are too slow. Your SLA (Service Level Agreement) states all tickets must be resolved within </a:t>
          </a:r>
          <a:r>
            <a:rPr lang="en-IN" b="1"/>
            <a:t>3 Working Days</a:t>
          </a:r>
          <a:r>
            <a:rPr lang="en-IN"/>
            <a:t>. </a:t>
          </a:r>
          <a:r>
            <a:rPr lang="en-IN" b="1"/>
            <a:t>The Stakes:</a:t>
          </a:r>
          <a:r>
            <a:rPr lang="en-IN"/>
            <a:t> If more than 10% of tickets are breaches, we lose the contract.</a:t>
          </a:r>
        </a:p>
        <a:p>
          <a:r>
            <a:rPr lang="en-IN" b="1"/>
            <a:t>Dataset:</a:t>
          </a:r>
          <a:r>
            <a:rPr lang="en-IN"/>
            <a:t> Open day8_capstone.csv.</a:t>
          </a:r>
        </a:p>
        <a:p>
          <a:endParaRPr lang="en-IN"/>
        </a:p>
        <a:p>
          <a:r>
            <a:rPr lang="en-IN" b="1"/>
            <a:t>Step 1: Establish the Baseline (Holiday Table)</a:t>
          </a:r>
        </a:p>
        <a:p>
          <a:r>
            <a:rPr lang="en-IN"/>
            <a:t>Before doing any math, identify the constraints.</a:t>
          </a:r>
        </a:p>
        <a:p>
          <a:r>
            <a:rPr lang="en-IN"/>
            <a:t>Scroll to the bottom/side of the sheet.</a:t>
          </a:r>
        </a:p>
        <a:p>
          <a:r>
            <a:rPr lang="en-IN"/>
            <a:t>Note the </a:t>
          </a:r>
          <a:r>
            <a:rPr lang="en-IN" b="1"/>
            <a:t>Holiday Table</a:t>
          </a:r>
          <a:r>
            <a:rPr lang="en-IN"/>
            <a:t> (Rows 18-21).</a:t>
          </a:r>
        </a:p>
        <a:p>
          <a:r>
            <a:rPr lang="en-IN" i="1"/>
            <a:t>Mental Check:</a:t>
          </a:r>
          <a:r>
            <a:rPr lang="en-IN"/>
            <a:t> Jan 1, Jan 15, and Feb 19 are "No Work" days.</a:t>
          </a:r>
        </a:p>
        <a:p>
          <a:endParaRPr lang="en-IN"/>
        </a:p>
        <a:p>
          <a:r>
            <a:rPr lang="en-IN" b="1"/>
            <a:t>Step 2: The Target (Calculate Deadline)</a:t>
          </a:r>
        </a:p>
        <a:p>
          <a:r>
            <a:rPr lang="en-IN" b="1"/>
            <a:t>Question:</a:t>
          </a:r>
          <a:r>
            <a:rPr lang="en-IN"/>
            <a:t> "Based on the Create Date, when was this </a:t>
          </a:r>
          <a:r>
            <a:rPr lang="en-IN" i="1"/>
            <a:t>supposed</a:t>
          </a:r>
          <a:r>
            <a:rPr lang="en-IN"/>
            <a:t> to be finished?"</a:t>
          </a:r>
        </a:p>
        <a:p>
          <a:r>
            <a:rPr lang="en-IN" b="1"/>
            <a:t>Create Column F:</a:t>
          </a:r>
          <a:r>
            <a:rPr lang="en-IN"/>
            <a:t> Header </a:t>
          </a:r>
          <a:r>
            <a:rPr lang="en-IN" b="1"/>
            <a:t>"SLA Deadline"</a:t>
          </a:r>
          <a:r>
            <a:rPr lang="en-IN"/>
            <a:t>.</a:t>
          </a:r>
        </a:p>
        <a:p>
          <a:r>
            <a:rPr lang="en-IN" b="1"/>
            <a:t>Check TKT-9003:</a:t>
          </a:r>
          <a:r>
            <a:rPr lang="en-IN"/>
            <a:t> Created Friday Jan 5. Deadline is Wed Jan 10. (Skips Sat/Sun).</a:t>
          </a:r>
        </a:p>
        <a:p>
          <a:endParaRPr lang="en-IN"/>
        </a:p>
        <a:p>
          <a:r>
            <a:rPr lang="en-IN" b="1"/>
            <a:t>Step 3: The Actuals (Time Taken)</a:t>
          </a:r>
        </a:p>
        <a:p>
          <a:r>
            <a:rPr lang="en-IN" b="1"/>
            <a:t>Question:</a:t>
          </a:r>
          <a:r>
            <a:rPr lang="en-IN"/>
            <a:t> "How many business days did we </a:t>
          </a:r>
          <a:r>
            <a:rPr lang="en-IN" i="1"/>
            <a:t>actually</a:t>
          </a:r>
          <a:r>
            <a:rPr lang="en-IN"/>
            <a:t> take?"</a:t>
          </a:r>
        </a:p>
        <a:p>
          <a:r>
            <a:rPr lang="en-IN" b="1"/>
            <a:t>Create Column G:</a:t>
          </a:r>
          <a:r>
            <a:rPr lang="en-IN"/>
            <a:t> Header </a:t>
          </a:r>
          <a:r>
            <a:rPr lang="en-IN" b="1"/>
            <a:t>"Days Taken"</a:t>
          </a:r>
          <a:r>
            <a:rPr lang="en-IN"/>
            <a:t>.</a:t>
          </a:r>
        </a:p>
        <a:p>
          <a:r>
            <a:rPr lang="en-IN" b="1"/>
            <a:t>Check TKT-9007:</a:t>
          </a:r>
          <a:endParaRPr lang="en-IN"/>
        </a:p>
        <a:p>
          <a:pPr lvl="1"/>
          <a:r>
            <a:rPr lang="en-IN"/>
            <a:t>Created: Friday Jan 12. Resolved: Wed Jan 17.</a:t>
          </a:r>
        </a:p>
        <a:p>
          <a:pPr lvl="1"/>
          <a:r>
            <a:rPr lang="en-IN"/>
            <a:t>Real Days: 5 days.</a:t>
          </a:r>
        </a:p>
        <a:p>
          <a:pPr lvl="1"/>
          <a:r>
            <a:rPr lang="en-IN"/>
            <a:t>Working Days Result: </a:t>
          </a:r>
          <a:r>
            <a:rPr lang="en-IN" b="1"/>
            <a:t>3</a:t>
          </a:r>
          <a:r>
            <a:rPr lang="en-IN"/>
            <a:t>. (Fri=1, Mon is MLK Holiday/Skip, Tue=2, Wed=3).</a:t>
          </a:r>
        </a:p>
        <a:p>
          <a:pPr lvl="1"/>
          <a:r>
            <a:rPr lang="en-IN" i="1"/>
            <a:t>Conclusion:</a:t>
          </a:r>
          <a:r>
            <a:rPr lang="en-IN"/>
            <a:t> This ticket is SAFE.</a:t>
          </a:r>
        </a:p>
        <a:p>
          <a:pPr lvl="1"/>
          <a:endParaRPr lang="en-IN"/>
        </a:p>
        <a:p>
          <a:r>
            <a:rPr lang="en-IN" b="1"/>
            <a:t>Step 4: The Logic (Status Flag)</a:t>
          </a:r>
        </a:p>
        <a:p>
          <a:r>
            <a:rPr lang="en-IN" b="1"/>
            <a:t>Question:</a:t>
          </a:r>
          <a:r>
            <a:rPr lang="en-IN"/>
            <a:t> "Did we fail?"</a:t>
          </a:r>
        </a:p>
        <a:p>
          <a:r>
            <a:rPr lang="en-IN" b="1"/>
            <a:t>Create Column H:</a:t>
          </a:r>
          <a:r>
            <a:rPr lang="en-IN"/>
            <a:t> Header </a:t>
          </a:r>
          <a:r>
            <a:rPr lang="en-IN" b="1"/>
            <a:t>"Status"</a:t>
          </a:r>
          <a:r>
            <a:rPr lang="en-IN"/>
            <a:t>.</a:t>
          </a:r>
        </a:p>
        <a:p>
          <a:r>
            <a:rPr lang="en-IN" b="1"/>
            <a:t>Logic:</a:t>
          </a:r>
          <a:r>
            <a:rPr lang="en-IN"/>
            <a:t> If the Resolve Date is </a:t>
          </a:r>
          <a:r>
            <a:rPr lang="en-IN" i="1"/>
            <a:t>after</a:t>
          </a:r>
          <a:r>
            <a:rPr lang="en-IN"/>
            <a:t> the Deadline, it's a Breach.</a:t>
          </a:r>
        </a:p>
        <a:p>
          <a:endParaRPr lang="en-IN"/>
        </a:p>
        <a:p>
          <a:r>
            <a:rPr lang="en-IN" b="1"/>
            <a:t>Step 5: The Alert (Conditional Formatting)</a:t>
          </a:r>
        </a:p>
        <a:p>
          <a:r>
            <a:rPr lang="en-IN" b="1"/>
            <a:t>Requirement:</a:t>
          </a:r>
          <a:r>
            <a:rPr lang="en-IN"/>
            <a:t> "I want to see Red immediately."</a:t>
          </a:r>
        </a:p>
        <a:p>
          <a:r>
            <a:rPr lang="en-IN"/>
            <a:t>Select the entire data table (A2:H16).</a:t>
          </a:r>
        </a:p>
        <a:p>
          <a:r>
            <a:rPr lang="en-IN"/>
            <a:t>Go to </a:t>
          </a:r>
          <a:r>
            <a:rPr lang="en-IN" b="1"/>
            <a:t>Home &gt; Conditional Formatting &gt; New Rule</a:t>
          </a:r>
          <a:r>
            <a:rPr lang="en-IN"/>
            <a:t>.</a:t>
          </a:r>
        </a:p>
        <a:p>
          <a:r>
            <a:rPr lang="en-IN"/>
            <a:t>Select </a:t>
          </a:r>
          <a:r>
            <a:rPr lang="en-IN" b="1"/>
            <a:t>"Use a formula to determine which cells to format"</a:t>
          </a:r>
          <a:r>
            <a:rPr lang="en-IN"/>
            <a:t>.</a:t>
          </a:r>
        </a:p>
        <a:p>
          <a:r>
            <a:rPr lang="en-IN" b="1"/>
            <a:t>Format:</a:t>
          </a:r>
          <a:r>
            <a:rPr lang="en-IN"/>
            <a:t> Fill Red, Font White/Bold.</a:t>
          </a:r>
        </a:p>
        <a:p>
          <a:endParaRPr lang="en-IN"/>
        </a:p>
        <a:p>
          <a:r>
            <a:rPr lang="en-IN" b="1"/>
            <a:t>Step 6: The Billing (Text Conversion)</a:t>
          </a:r>
        </a:p>
        <a:p>
          <a:r>
            <a:rPr lang="en-IN" b="1"/>
            <a:t>Requirement:</a:t>
          </a:r>
          <a:r>
            <a:rPr lang="en-IN"/>
            <a:t> Group tickets by Billing Month.</a:t>
          </a:r>
        </a:p>
        <a:p>
          <a:r>
            <a:rPr lang="en-IN" b="1"/>
            <a:t>Create Column I:</a:t>
          </a:r>
          <a:r>
            <a:rPr lang="en-IN"/>
            <a:t> Header </a:t>
          </a:r>
          <a:r>
            <a:rPr lang="en-IN" b="1"/>
            <a:t>"Billing Month"</a:t>
          </a:r>
          <a:r>
            <a:rPr lang="en-IN"/>
            <a:t>.</a:t>
          </a:r>
        </a:p>
        <a:p>
          <a:endParaRPr lang="en-IN" sz="1100"/>
        </a:p>
      </xdr:txBody>
    </xdr:sp>
    <xdr:clientData/>
  </xdr:twoCellAnchor>
</xdr:wsDr>
</file>

<file path=xl/tables/table1.xml><?xml version="1.0" encoding="utf-8"?>
<table xmlns="http://schemas.openxmlformats.org/spreadsheetml/2006/main" id="5" name="Table5" displayName="Table5" ref="A1:I16" totalsRowShown="0">
  <autoFilter ref="A1:I16"/>
  <tableColumns count="9">
    <tableColumn id="1" name="TicketID"/>
    <tableColumn id="2" name="CreateDate" dataDxfId="8"/>
    <tableColumn id="3" name="ResolveDate" dataDxfId="7"/>
    <tableColumn id="4" name="Priority"/>
    <tableColumn id="5" name="Technician"/>
    <tableColumn id="6" name="SLA Deadline" dataDxfId="6"/>
    <tableColumn id="7" name="Days Taken" dataDxfId="5"/>
    <tableColumn id="8" name="Status Flag" dataDxfId="4">
      <calculatedColumnFormula>IF(Table5[[#This Row],[ResolveDate]]&gt;Table5[[#This Row],[SLA Deadline]],"Breach","Safe")</calculatedColumnFormula>
    </tableColumn>
    <tableColumn id="9" name="Billing Month" dataDxfId="0">
      <calculatedColumnFormula>TEXT(Table5[[#This Row],[CreateDate]],"mmm yyyy")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tabSelected="1" zoomScale="130" zoomScaleNormal="130" workbookViewId="0">
      <selection activeCell="G9" sqref="G9"/>
    </sheetView>
  </sheetViews>
  <sheetFormatPr defaultRowHeight="15" x14ac:dyDescent="0.25"/>
  <cols>
    <col min="2" max="2" width="12.7109375" customWidth="1"/>
    <col min="3" max="3" width="12.85546875" customWidth="1"/>
    <col min="5" max="5" width="11.28515625" customWidth="1"/>
    <col min="6" max="6" width="9.85546875" bestFit="1" customWidth="1"/>
  </cols>
  <sheetData>
    <row r="1" spans="1:9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s="2" t="s">
        <v>32</v>
      </c>
      <c r="G1" t="s">
        <v>33</v>
      </c>
      <c r="H1" t="s">
        <v>34</v>
      </c>
      <c r="I1" t="s">
        <v>35</v>
      </c>
    </row>
    <row r="2" spans="1:9" x14ac:dyDescent="0.25">
      <c r="A2" t="s">
        <v>6</v>
      </c>
      <c r="B2" s="3">
        <v>45292</v>
      </c>
      <c r="C2" s="3">
        <v>45295</v>
      </c>
      <c r="D2" t="s">
        <v>7</v>
      </c>
      <c r="E2" t="s">
        <v>8</v>
      </c>
      <c r="F2" s="3">
        <v>45295</v>
      </c>
      <c r="G2" s="4">
        <v>3</v>
      </c>
      <c r="H2" t="str">
        <f>IF(Table5[[#This Row],[ResolveDate]]&gt;Table5[[#This Row],[SLA Deadline]],"Breach","Safe")</f>
        <v>Safe</v>
      </c>
      <c r="I2" t="str">
        <f>TEXT(Table5[[#This Row],[CreateDate]],"mmm yyyy")</f>
        <v>Jan 2024</v>
      </c>
    </row>
    <row r="3" spans="1:9" x14ac:dyDescent="0.25">
      <c r="A3" t="s">
        <v>9</v>
      </c>
      <c r="B3" s="3">
        <v>45293</v>
      </c>
      <c r="C3" s="3">
        <v>45295</v>
      </c>
      <c r="D3" t="s">
        <v>10</v>
      </c>
      <c r="E3" t="s">
        <v>11</v>
      </c>
      <c r="F3" s="3">
        <v>45296</v>
      </c>
      <c r="G3" s="4">
        <v>3</v>
      </c>
      <c r="H3" t="str">
        <f>IF(Table5[[#This Row],[ResolveDate]]&gt;Table5[[#This Row],[SLA Deadline]],"Breach","Safe")</f>
        <v>Safe</v>
      </c>
      <c r="I3" t="str">
        <f>TEXT(Table5[[#This Row],[CreateDate]],"mmm yyyy")</f>
        <v>Jan 2024</v>
      </c>
    </row>
    <row r="4" spans="1:9" x14ac:dyDescent="0.25">
      <c r="A4" t="s">
        <v>12</v>
      </c>
      <c r="B4" s="3">
        <v>45296</v>
      </c>
      <c r="C4" s="3">
        <v>45300</v>
      </c>
      <c r="D4" t="s">
        <v>7</v>
      </c>
      <c r="E4" t="s">
        <v>8</v>
      </c>
      <c r="F4" s="3">
        <v>45301</v>
      </c>
      <c r="G4" s="4">
        <v>3</v>
      </c>
      <c r="H4" t="str">
        <f>IF(Table5[[#This Row],[ResolveDate]]&gt;Table5[[#This Row],[SLA Deadline]],"Breach","Safe")</f>
        <v>Safe</v>
      </c>
      <c r="I4" t="str">
        <f>TEXT(Table5[[#This Row],[CreateDate]],"mmm yyyy")</f>
        <v>Jan 2024</v>
      </c>
    </row>
    <row r="5" spans="1:9" x14ac:dyDescent="0.25">
      <c r="A5" t="s">
        <v>13</v>
      </c>
      <c r="B5" s="3">
        <v>45296</v>
      </c>
      <c r="C5" s="3">
        <v>45302</v>
      </c>
      <c r="D5" t="s">
        <v>7</v>
      </c>
      <c r="E5" t="s">
        <v>14</v>
      </c>
      <c r="F5" s="3">
        <v>45301</v>
      </c>
      <c r="G5" s="4">
        <v>5</v>
      </c>
      <c r="H5" t="str">
        <f>IF(Table5[[#This Row],[ResolveDate]]&gt;Table5[[#This Row],[SLA Deadline]],"Breach","Safe")</f>
        <v>Breach</v>
      </c>
      <c r="I5" t="str">
        <f>TEXT(Table5[[#This Row],[CreateDate]],"mmm yyyy")</f>
        <v>Jan 2024</v>
      </c>
    </row>
    <row r="6" spans="1:9" x14ac:dyDescent="0.25">
      <c r="A6" t="s">
        <v>15</v>
      </c>
      <c r="B6" s="3">
        <v>45299</v>
      </c>
      <c r="C6" s="3">
        <v>45301</v>
      </c>
      <c r="D6" t="s">
        <v>10</v>
      </c>
      <c r="E6" t="s">
        <v>11</v>
      </c>
      <c r="F6" s="3">
        <v>45302</v>
      </c>
      <c r="G6" s="4">
        <v>3</v>
      </c>
      <c r="H6" t="str">
        <f>IF(Table5[[#This Row],[ResolveDate]]&gt;Table5[[#This Row],[SLA Deadline]],"Breach","Safe")</f>
        <v>Safe</v>
      </c>
      <c r="I6" t="str">
        <f>TEXT(Table5[[#This Row],[CreateDate]],"mmm yyyy")</f>
        <v>Jan 2024</v>
      </c>
    </row>
    <row r="7" spans="1:9" x14ac:dyDescent="0.25">
      <c r="A7" t="s">
        <v>16</v>
      </c>
      <c r="B7" s="3">
        <v>45303</v>
      </c>
      <c r="C7" s="3">
        <v>45307</v>
      </c>
      <c r="D7" t="s">
        <v>7</v>
      </c>
      <c r="E7" t="s">
        <v>8</v>
      </c>
      <c r="F7" s="3">
        <v>45309</v>
      </c>
      <c r="G7" s="4">
        <v>2</v>
      </c>
      <c r="H7" t="str">
        <f>IF(Table5[[#This Row],[ResolveDate]]&gt;Table5[[#This Row],[SLA Deadline]],"Breach","Safe")</f>
        <v>Safe</v>
      </c>
      <c r="I7" t="str">
        <f>TEXT(Table5[[#This Row],[CreateDate]],"mmm yyyy")</f>
        <v>Jan 2024</v>
      </c>
    </row>
    <row r="8" spans="1:9" x14ac:dyDescent="0.25">
      <c r="A8" t="s">
        <v>17</v>
      </c>
      <c r="B8" s="3">
        <v>45303</v>
      </c>
      <c r="C8" s="3">
        <v>45308</v>
      </c>
      <c r="D8" t="s">
        <v>18</v>
      </c>
      <c r="E8" t="s">
        <v>14</v>
      </c>
      <c r="F8" s="3">
        <v>45309</v>
      </c>
      <c r="G8" s="4">
        <v>3</v>
      </c>
      <c r="H8" t="str">
        <f>IF(Table5[[#This Row],[ResolveDate]]&gt;Table5[[#This Row],[SLA Deadline]],"Breach","Safe")</f>
        <v>Safe</v>
      </c>
      <c r="I8" t="str">
        <f>TEXT(Table5[[#This Row],[CreateDate]],"mmm yyyy")</f>
        <v>Jan 2024</v>
      </c>
    </row>
    <row r="9" spans="1:9" x14ac:dyDescent="0.25">
      <c r="A9" t="s">
        <v>19</v>
      </c>
      <c r="B9" s="3">
        <v>45306</v>
      </c>
      <c r="C9" s="3">
        <v>45309</v>
      </c>
      <c r="D9" t="s">
        <v>10</v>
      </c>
      <c r="E9" t="s">
        <v>11</v>
      </c>
      <c r="F9" s="3">
        <v>45309</v>
      </c>
      <c r="G9" s="4">
        <v>3</v>
      </c>
      <c r="H9" t="str">
        <f>IF(Table5[[#This Row],[ResolveDate]]&gt;Table5[[#This Row],[SLA Deadline]],"Breach","Safe")</f>
        <v>Safe</v>
      </c>
      <c r="I9" t="str">
        <f>TEXT(Table5[[#This Row],[CreateDate]],"mmm yyyy")</f>
        <v>Jan 2024</v>
      </c>
    </row>
    <row r="10" spans="1:9" x14ac:dyDescent="0.25">
      <c r="A10" t="s">
        <v>20</v>
      </c>
      <c r="B10" s="3">
        <v>45310</v>
      </c>
      <c r="C10" s="3">
        <v>45314</v>
      </c>
      <c r="D10" t="s">
        <v>7</v>
      </c>
      <c r="E10" t="s">
        <v>8</v>
      </c>
      <c r="F10" s="3">
        <v>45315</v>
      </c>
      <c r="G10" s="4">
        <v>3</v>
      </c>
      <c r="H10" t="str">
        <f>IF(Table5[[#This Row],[ResolveDate]]&gt;Table5[[#This Row],[SLA Deadline]],"Breach","Safe")</f>
        <v>Safe</v>
      </c>
      <c r="I10" t="str">
        <f>TEXT(Table5[[#This Row],[CreateDate]],"mmm yyyy")</f>
        <v>Jan 2024</v>
      </c>
    </row>
    <row r="11" spans="1:9" x14ac:dyDescent="0.25">
      <c r="A11" t="s">
        <v>21</v>
      </c>
      <c r="B11" s="3">
        <v>45313</v>
      </c>
      <c r="C11" s="3">
        <v>45317</v>
      </c>
      <c r="D11" t="s">
        <v>18</v>
      </c>
      <c r="E11" t="s">
        <v>14</v>
      </c>
      <c r="F11" s="3">
        <v>45316</v>
      </c>
      <c r="G11" s="4">
        <v>5</v>
      </c>
      <c r="H11" t="str">
        <f>IF(Table5[[#This Row],[ResolveDate]]&gt;Table5[[#This Row],[SLA Deadline]],"Breach","Safe")</f>
        <v>Breach</v>
      </c>
      <c r="I11" t="str">
        <f>TEXT(Table5[[#This Row],[CreateDate]],"mmm yyyy")</f>
        <v>Jan 2024</v>
      </c>
    </row>
    <row r="12" spans="1:9" x14ac:dyDescent="0.25">
      <c r="A12" t="s">
        <v>22</v>
      </c>
      <c r="B12" s="3">
        <v>45317</v>
      </c>
      <c r="C12" s="3">
        <v>45322</v>
      </c>
      <c r="D12" t="s">
        <v>7</v>
      </c>
      <c r="E12" t="s">
        <v>8</v>
      </c>
      <c r="F12" s="3">
        <v>45322</v>
      </c>
      <c r="G12" s="4">
        <v>4</v>
      </c>
      <c r="H12" t="str">
        <f>IF(Table5[[#This Row],[ResolveDate]]&gt;Table5[[#This Row],[SLA Deadline]],"Breach","Safe")</f>
        <v>Safe</v>
      </c>
      <c r="I12" t="str">
        <f>TEXT(Table5[[#This Row],[CreateDate]],"mmm yyyy")</f>
        <v>Jan 2024</v>
      </c>
    </row>
    <row r="13" spans="1:9" x14ac:dyDescent="0.25">
      <c r="A13" t="s">
        <v>23</v>
      </c>
      <c r="B13" s="3">
        <v>45320</v>
      </c>
      <c r="C13" s="3">
        <v>45323</v>
      </c>
      <c r="D13" t="s">
        <v>10</v>
      </c>
      <c r="E13" t="s">
        <v>11</v>
      </c>
      <c r="F13" s="3">
        <v>45323</v>
      </c>
      <c r="G13" s="4">
        <v>4</v>
      </c>
      <c r="H13" t="str">
        <f>IF(Table5[[#This Row],[ResolveDate]]&gt;Table5[[#This Row],[SLA Deadline]],"Breach","Safe")</f>
        <v>Safe</v>
      </c>
      <c r="I13" t="str">
        <f>TEXT(Table5[[#This Row],[CreateDate]],"mmm yyyy")</f>
        <v>Jan 2024</v>
      </c>
    </row>
    <row r="14" spans="1:9" x14ac:dyDescent="0.25">
      <c r="A14" t="s">
        <v>24</v>
      </c>
      <c r="B14" s="3">
        <v>45324</v>
      </c>
      <c r="C14" s="3">
        <v>45328</v>
      </c>
      <c r="D14" t="s">
        <v>7</v>
      </c>
      <c r="E14" t="s">
        <v>14</v>
      </c>
      <c r="F14" s="3">
        <v>45329</v>
      </c>
      <c r="G14" s="4">
        <v>3</v>
      </c>
      <c r="H14" t="str">
        <f>IF(Table5[[#This Row],[ResolveDate]]&gt;Table5[[#This Row],[SLA Deadline]],"Breach","Safe")</f>
        <v>Safe</v>
      </c>
      <c r="I14" t="str">
        <f>TEXT(Table5[[#This Row],[CreateDate]],"mmm yyyy")</f>
        <v>Feb 2024</v>
      </c>
    </row>
    <row r="15" spans="1:9" x14ac:dyDescent="0.25">
      <c r="A15" t="s">
        <v>25</v>
      </c>
      <c r="B15" s="3">
        <v>45331</v>
      </c>
      <c r="C15" s="3">
        <v>45336</v>
      </c>
      <c r="D15" t="s">
        <v>18</v>
      </c>
      <c r="E15" t="s">
        <v>8</v>
      </c>
      <c r="F15" s="3">
        <v>45336</v>
      </c>
      <c r="G15" s="4">
        <v>4</v>
      </c>
      <c r="H15" t="str">
        <f>IF(Table5[[#This Row],[ResolveDate]]&gt;Table5[[#This Row],[SLA Deadline]],"Breach","Safe")</f>
        <v>Safe</v>
      </c>
      <c r="I15" t="str">
        <f>TEXT(Table5[[#This Row],[CreateDate]],"mmm yyyy")</f>
        <v>Feb 2024</v>
      </c>
    </row>
    <row r="16" spans="1:9" x14ac:dyDescent="0.25">
      <c r="A16" t="s">
        <v>26</v>
      </c>
      <c r="B16" s="3">
        <v>45338</v>
      </c>
      <c r="C16" s="3">
        <v>45341</v>
      </c>
      <c r="D16" t="s">
        <v>10</v>
      </c>
      <c r="E16" t="s">
        <v>11</v>
      </c>
      <c r="F16" s="3">
        <v>45344</v>
      </c>
      <c r="G16" s="4">
        <v>1</v>
      </c>
      <c r="H16" t="str">
        <f>IF(Table5[[#This Row],[ResolveDate]]&gt;Table5[[#This Row],[SLA Deadline]],"Breach","Safe")</f>
        <v>Safe</v>
      </c>
      <c r="I16" t="str">
        <f>TEXT(Table5[[#This Row],[CreateDate]],"mmm yyyy")</f>
        <v>Feb 2024</v>
      </c>
    </row>
    <row r="18" spans="1:2" x14ac:dyDescent="0.25">
      <c r="A18" t="s">
        <v>0</v>
      </c>
    </row>
    <row r="19" spans="1:2" x14ac:dyDescent="0.25">
      <c r="A19" t="s">
        <v>27</v>
      </c>
      <c r="B19" t="s">
        <v>28</v>
      </c>
    </row>
    <row r="20" spans="1:2" x14ac:dyDescent="0.25">
      <c r="A20" t="s">
        <v>29</v>
      </c>
      <c r="B20" s="1">
        <v>45292</v>
      </c>
    </row>
    <row r="21" spans="1:2" x14ac:dyDescent="0.25">
      <c r="A21" t="s">
        <v>30</v>
      </c>
      <c r="B21" s="1">
        <v>45306</v>
      </c>
    </row>
    <row r="22" spans="1:2" x14ac:dyDescent="0.25">
      <c r="A22" t="s">
        <v>31</v>
      </c>
      <c r="B22" s="1">
        <v>45341</v>
      </c>
    </row>
  </sheetData>
  <conditionalFormatting sqref="A2:H16">
    <cfRule type="expression" dxfId="2" priority="1">
      <formula>$H2="Breach"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Admin</cp:lastModifiedBy>
  <dcterms:created xsi:type="dcterms:W3CDTF">2025-12-06T04:24:45Z</dcterms:created>
  <dcterms:modified xsi:type="dcterms:W3CDTF">2025-12-14T11:52:42Z</dcterms:modified>
</cp:coreProperties>
</file>