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<sst xmlns="http://schemas.openxmlformats.org/spreadsheetml/2006/main" count="41" uniqueCount="22">
  <si>
    <t xml:space="preserve"> </t>
  </si>
  <si>
    <t>Employee_ID</t>
  </si>
  <si>
    <t>Employee_Name</t>
  </si>
  <si>
    <t>Login_Time</t>
  </si>
  <si>
    <t>Sales</t>
  </si>
  <si>
    <t>S-101</t>
  </si>
  <si>
    <t>Sarah Connor</t>
  </si>
  <si>
    <t>Engineering</t>
  </si>
  <si>
    <t>E-202</t>
  </si>
  <si>
    <t>Tony Stark</t>
  </si>
  <si>
    <t>HR</t>
  </si>
  <si>
    <t>H-303</t>
  </si>
  <si>
    <t>Pam Beesly</t>
  </si>
  <si>
    <t>Marketing</t>
  </si>
  <si>
    <t>M-404</t>
  </si>
  <si>
    <t>Jim Halpert</t>
  </si>
  <si>
    <t>SEARCH DASHBOARD</t>
  </si>
  <si>
    <t>Lookup Employee:</t>
  </si>
  <si>
    <t>Task 1 (Department):</t>
  </si>
  <si>
    <t>Task 2 (First Login):</t>
  </si>
  <si>
    <t>Task 3 (Last Login):</t>
  </si>
  <si>
    <t>Task 4 (Status):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</si>
</sst>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8" xfId="0" applyFont="1" applyNumberFormat="1"/>
    <xf borderId="0" fillId="0" fontId="1" numFmtId="1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4</xdr:row>
      <xdr:rowOff>142875</xdr:rowOff>
    </xdr:from>
    <xdr:ext cx="4257675" cy="2114550"/>
    <xdr:sp>
      <xdr:nvSpPr>
        <xdr:cNvPr id="3" name="Shape 3"/>
        <xdr:cNvSpPr txBox="1"/>
      </xdr:nvSpPr>
      <xdr:spPr>
        <a:xfrm>
          <a:off x="3221925" y="2727488"/>
          <a:ext cx="4248150" cy="2105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Google Sheets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Activity: "The Time Travel Search" (25 Mins)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Dataset: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 log of "Employee Login Times" (Multiple entries per person).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1 (Standard):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XLOOKUP to find the employee's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Department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(Looking Left).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2 (New Skill):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XLOOKUP to find their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First Login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(Morning)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Last Login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(Evening).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Hint: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search mode 1 for first, -1 for last.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3 (Error Handling):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Use the 4th argument to display "Absent" if the employee isn't in the list (No IFERROR needed!).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Task 4 (Not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one):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Try to find data for "Clark Kent"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8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2.14"/>
    <col customWidth="1" min="3" max="3" width="15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2">
        <v>0.37152777777777773</v>
      </c>
    </row>
    <row r="3" ht="14.25" customHeight="1">
      <c r="A3" s="1" t="s">
        <v>7</v>
      </c>
      <c r="B3" s="1" t="s">
        <v>8</v>
      </c>
      <c r="C3" s="1" t="s">
        <v>9</v>
      </c>
      <c r="D3" s="2">
        <v>0.375</v>
      </c>
    </row>
    <row r="4" ht="14.25" customHeight="1">
      <c r="A4" s="1" t="s">
        <v>4</v>
      </c>
      <c r="B4" s="1" t="s">
        <v>5</v>
      </c>
      <c r="C4" s="1" t="s">
        <v>6</v>
      </c>
      <c r="D4" s="2">
        <v>0.5208333333333334</v>
      </c>
    </row>
    <row r="5" ht="14.25" customHeight="1">
      <c r="A5" s="1" t="s">
        <v>10</v>
      </c>
      <c r="B5" s="1" t="s">
        <v>11</v>
      </c>
      <c r="C5" s="1" t="s">
        <v>12</v>
      </c>
      <c r="D5" s="2">
        <v>0.3854166666666667</v>
      </c>
    </row>
    <row r="6" ht="14.25" customHeight="1">
      <c r="A6" s="1" t="s">
        <v>4</v>
      </c>
      <c r="B6" s="1" t="s">
        <v>5</v>
      </c>
      <c r="C6" s="1" t="s">
        <v>6</v>
      </c>
      <c r="D6" s="2">
        <v>0.7395833333333334</v>
      </c>
    </row>
    <row r="7" ht="14.25" customHeight="1">
      <c r="A7" s="1" t="s">
        <v>7</v>
      </c>
      <c r="B7" s="1" t="s">
        <v>8</v>
      </c>
      <c r="C7" s="1" t="s">
        <v>9</v>
      </c>
      <c r="D7" s="2">
        <v>0.4583333333333333</v>
      </c>
    </row>
    <row r="8" ht="14.25" customHeight="1">
      <c r="A8" s="1" t="s">
        <v>7</v>
      </c>
      <c r="B8" s="1" t="s">
        <v>8</v>
      </c>
      <c r="C8" s="1" t="s">
        <v>9</v>
      </c>
      <c r="D8" s="2">
        <v>0.8333333333333334</v>
      </c>
    </row>
    <row r="9" ht="14.25" customHeight="1">
      <c r="A9" s="1" t="s">
        <v>10</v>
      </c>
      <c r="B9" s="1" t="s">
        <v>11</v>
      </c>
      <c r="C9" s="1" t="s">
        <v>12</v>
      </c>
      <c r="D9" s="2">
        <v>0.7083333333333334</v>
      </c>
    </row>
    <row r="10" ht="14.25" customHeight="1">
      <c r="A10" s="1" t="s">
        <v>13</v>
      </c>
      <c r="B10" s="1" t="s">
        <v>14</v>
      </c>
      <c r="C10" s="1" t="s">
        <v>15</v>
      </c>
      <c r="D10" s="2">
        <v>0.3958333333333333</v>
      </c>
    </row>
    <row r="11" ht="14.25" customHeight="1">
      <c r="A11" s="1" t="s">
        <v>13</v>
      </c>
      <c r="B11" s="1" t="s">
        <v>14</v>
      </c>
      <c r="C11" s="1" t="s">
        <v>15</v>
      </c>
      <c r="D11" s="2">
        <v>0.71875</v>
      </c>
    </row>
    <row r="12" ht="14.25" customHeight="1"/>
    <row r="13" ht="14.25" customHeight="1">
      <c r="A13" s="1" t="s">
        <v>16</v>
      </c>
    </row>
    <row r="14" ht="14.25" customHeight="1">
      <c r="A14" s="1" t="s">
        <v>17</v>
      </c>
      <c r="B14" s="1" t="s">
        <v>6</v>
      </c>
    </row>
    <row r="15" ht="14.25" customHeight="1">
      <c r="A15" s="1" t="s">
        <v>18</v>
      </c>
      <c r="B15" s="1" t="str">
        <f t="array" ref="B15">XLOOKUP("Sarah Connor",$C$2:$C$11,$A$2:$A$11,"Not found")
</f>
        <v>Sales</v>
      </c>
    </row>
    <row r="16" ht="14.25" customHeight="1">
      <c r="A16" s="1" t="s">
        <v>19</v>
      </c>
      <c r="B16" s="3">
        <f t="array" ref="B16">XLOOKUP("Sarah Connor", C2:C11,D2:D11,"Nothing here",0,1)
</f>
        <v>0.3715277778</v>
      </c>
    </row>
    <row r="17" ht="14.25" customHeight="1">
      <c r="A17" s="1" t="s">
        <v>20</v>
      </c>
      <c r="B17" s="3">
        <f t="array" ref="B17">XLOOKUP("Sarah Connor", C2:C11,D2:D11,"Nothing here",0,-1)
</f>
        <v>0.7395833333</v>
      </c>
    </row>
    <row r="18" ht="14.25" customHeight="1">
      <c r="A18" s="1" t="s">
        <v>21</v>
      </c>
      <c r="B18" s="1" t="str">
        <f t="array" ref="B18">XLOOKUP("Clark Kent",C2:C11,C2:C11,"Not Found")</f>
        <v>Not Found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